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ivi" sheetId="1" state="visible" r:id="rId3"/>
    <sheet name="Tableau de bord" sheetId="2" state="visible" r:id="rId4"/>
    <sheet name="Légende &amp; Process" sheetId="3" state="visible" r:id="rId5"/>
  </sheets>
  <definedNames>
    <definedName function="false" hidden="true" localSheetId="0" name="_xlnm._FilterDatabase" vbProcedure="false">Suivi!$A$4:$L$42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<sst xmlns="http://schemas.openxmlformats.org/spreadsheetml/2006/main" count="403" uniqueCount="234">
  <si>
    <t xml:space="preserve">BACKLINKS — ANNUAIRES IPB EXPERTISE 2026</t>
  </si>
  <si>
    <t xml:space="preserve">Cible : 20-30 backlinks sur 3 mois. NAP cohérent partout (IPB Expertise · 13 rue du Recteur Dottin, 31100 Toulouse · 05 82 95 33 75 · contact@ipb-expertise.fr)</t>
  </si>
  <si>
    <t xml:space="preserve">Priorité</t>
  </si>
  <si>
    <t xml:space="preserve">Catégorie</t>
  </si>
  <si>
    <t xml:space="preserve">Annuaire</t>
  </si>
  <si>
    <t xml:space="preserve">URL d'inscription</t>
  </si>
  <si>
    <t xml:space="preserve">DA estimé</t>
  </si>
  <si>
    <t xml:space="preserve">Coût</t>
  </si>
  <si>
    <t xml:space="preserve">Type</t>
  </si>
  <si>
    <t xml:space="preserve">Statut</t>
  </si>
  <si>
    <t xml:space="preserve">Date soumission</t>
  </si>
  <si>
    <t xml:space="preserve">URL backlink obtenu</t>
  </si>
  <si>
    <t xml:space="preserve">Notes</t>
  </si>
  <si>
    <t xml:space="preserve">Effort (min)</t>
  </si>
  <si>
    <t xml:space="preserve">Généraliste</t>
  </si>
  <si>
    <t xml:space="preserve">Pages Jaunes</t>
  </si>
  <si>
    <t xml:space="preserve">https://www.pagesjaunes.fr/pros/devenir-client</t>
  </si>
  <si>
    <t xml:space="preserve">85</t>
  </si>
  <si>
    <t xml:space="preserve">Gratuit (base)</t>
  </si>
  <si>
    <t xml:space="preserve">DoFollow</t>
  </si>
  <si>
    <t xml:space="preserve">À faire</t>
  </si>
  <si>
    <t xml:space="preserve">Indispensable. Optimiser fiche complète : photos, horaires, services, descriptif détaillé Toulouse + département 31. Lié à 118712 et Mappy.</t>
  </si>
  <si>
    <t xml:space="preserve">Google Business Profile</t>
  </si>
  <si>
    <t xml:space="preserve">https://www.google.com/business/</t>
  </si>
  <si>
    <t xml:space="preserve">100</t>
  </si>
  <si>
    <t xml:space="preserve">Gratuit</t>
  </si>
  <si>
    <t xml:space="preserve">Inclusion local pack</t>
  </si>
  <si>
    <t xml:space="preserve">PRIORITÉ ABSOLUE. Pas un backlink classique mais THE local SEO signal. 30 avis cible 6 mois. Posts hebdo. Photos chantiers.</t>
  </si>
  <si>
    <t xml:space="preserve">Bing Places</t>
  </si>
  <si>
    <t xml:space="preserve">https://www.bingplaces.com/</t>
  </si>
  <si>
    <t xml:space="preserve">94</t>
  </si>
  <si>
    <t xml:space="preserve">DoFollow + local</t>
  </si>
  <si>
    <t xml:space="preserve">Important pour Bing/Edge users (~5-10% trafic FR). Souvent oublié. Dupliquer fiche Google.</t>
  </si>
  <si>
    <t xml:space="preserve">Apple Plans / Maps Connect</t>
  </si>
  <si>
    <t xml:space="preserve">https://mapsconnect.apple.com/</t>
  </si>
  <si>
    <t xml:space="preserve">Inclusion local</t>
  </si>
  <si>
    <t xml:space="preserve">Indispensable pour iPhone users (~30% mobile FR). Gratuit. Demande validation.</t>
  </si>
  <si>
    <t xml:space="preserve">Yelp France</t>
  </si>
  <si>
    <t xml:space="preserve">https://biz.yelp.fr/</t>
  </si>
  <si>
    <t xml:space="preserve">88</t>
  </si>
  <si>
    <t xml:space="preserve">NoFollow</t>
  </si>
  <si>
    <t xml:space="preserve">Présence + avis. NoFollow mais signal local + trafic direct.</t>
  </si>
  <si>
    <t xml:space="preserve">Hoodspot</t>
  </si>
  <si>
    <t xml:space="preserve">https://hoodspot.fr/</t>
  </si>
  <si>
    <t xml:space="preserve">55</t>
  </si>
  <si>
    <t xml:space="preserve">Annuaire généraliste FR, simple à soumettre.</t>
  </si>
  <si>
    <t xml:space="preserve">Justacôté</t>
  </si>
  <si>
    <t xml:space="preserve">https://www.justacote.com/</t>
  </si>
  <si>
    <t xml:space="preserve">Annuaire avis FR, fiche entreprise complète.</t>
  </si>
  <si>
    <t xml:space="preserve">Cylex France</t>
  </si>
  <si>
    <t xml:space="preserve">https://www.cylex-france.fr/</t>
  </si>
  <si>
    <t xml:space="preserve">60</t>
  </si>
  <si>
    <t xml:space="preserve">Annuaire B2B/B2C FR. Gratuit. Bon pour le SEO local.</t>
  </si>
  <si>
    <t xml:space="preserve">Kompass</t>
  </si>
  <si>
    <t xml:space="preserve">https://fr.kompass.com/</t>
  </si>
  <si>
    <t xml:space="preserve">70</t>
  </si>
  <si>
    <t xml:space="preserve">Annuaire B2B mondial. Free tier limité, premium payant. Bon pour autorité.</t>
  </si>
  <si>
    <t xml:space="preserve">Société.com</t>
  </si>
  <si>
    <t xml:space="preserve">https://www.societe.com/</t>
  </si>
  <si>
    <t xml:space="preserve">75</t>
  </si>
  <si>
    <t xml:space="preserve">Gratuit (auto)</t>
  </si>
  <si>
    <t xml:space="preserve">Présent automatiquement via SIREN. Vérifier la fiche, demander rectifications/ajouts si nécessaire (téléphone, site web).</t>
  </si>
  <si>
    <t xml:space="preserve">Local Toulouse</t>
  </si>
  <si>
    <t xml:space="preserve">Annuaire CCI Toulouse Haute-Garonne</t>
  </si>
  <si>
    <t xml:space="preserve">https://www.toulouse.cci.fr/annuaire-entreprises</t>
  </si>
  <si>
    <t xml:space="preserve">Gratuit (membres)</t>
  </si>
  <si>
    <t xml:space="preserve">Membres CCI : inscription gratuite. Très fort signal local. Vérifier statut adhésion CCI.</t>
  </si>
  <si>
    <t xml:space="preserve">Toulouse Métropole — annuaire</t>
  </si>
  <si>
    <t xml:space="preserve">https://www.toulouse-metropole.fr/</t>
  </si>
  <si>
    <t xml:space="preserve">Section annuaire des entreprises locales. Prendre contact mairie service éco si nécessaire.</t>
  </si>
  <si>
    <t xml:space="preserve">Conseil Départemental 31</t>
  </si>
  <si>
    <t xml:space="preserve">https://www.haute-garonne.fr/</t>
  </si>
  <si>
    <t xml:space="preserve">Annuaire des artisans / pros du département. Très bon signal géographique.</t>
  </si>
  <si>
    <t xml:space="preserve">Région Occitanie</t>
  </si>
  <si>
    <t xml:space="preserve">https://www.laregion.fr/</t>
  </si>
  <si>
    <t xml:space="preserve">Présence dans annuaire pros / aides régionales. Signal large géo.</t>
  </si>
  <si>
    <t xml:space="preserve">Chambre des Métiers Haute-Garonne (CMA31)</t>
  </si>
  <si>
    <t xml:space="preserve">https://www.cma-toulouse.fr/</t>
  </si>
  <si>
    <t xml:space="preserve">Si artisan/inscrit CMA. Vérifier statut.</t>
  </si>
  <si>
    <t xml:space="preserve">Made in Occitanie</t>
  </si>
  <si>
    <t xml:space="preserve">https://www.madeinoccitanie.com/</t>
  </si>
  <si>
    <t xml:space="preserve">40</t>
  </si>
  <si>
    <t xml:space="preserve">Annuaire entreprises régionales. Gratuit, fiche simple.</t>
  </si>
  <si>
    <t xml:space="preserve">Annuaire Toulouse-City</t>
  </si>
  <si>
    <t xml:space="preserve">https://www.toulouse.org/</t>
  </si>
  <si>
    <t xml:space="preserve">35</t>
  </si>
  <si>
    <t xml:space="preserve">Annuaire de proximité Toulouse, gratuit.</t>
  </si>
  <si>
    <t xml:space="preserve">Métier bâtiment</t>
  </si>
  <si>
    <t xml:space="preserve">Houzz</t>
  </si>
  <si>
    <t xml:space="preserve">https://www.houzz.fr/professionnels/inscription</t>
  </si>
  <si>
    <t xml:space="preserve">92</t>
  </si>
  <si>
    <t xml:space="preserve">Gratuit (Pro)</t>
  </si>
  <si>
    <t xml:space="preserve">DoFollow + portfolio</t>
  </si>
  <si>
    <t xml:space="preserve">GROS RICHE pour pro bâtiment. Photos chantiers, projets, avis. Prendre temps de bien remplir le book pro.</t>
  </si>
  <si>
    <t xml:space="preserve">Travaux.com</t>
  </si>
  <si>
    <t xml:space="preserve">https://www.travaux.com/inscription-pro</t>
  </si>
  <si>
    <t xml:space="preserve">Gratuit (lite)</t>
  </si>
  <si>
    <t xml:space="preserve">Solocal. Plateforme demandes de devis. Premium payant mais gratuit utile.</t>
  </si>
  <si>
    <t xml:space="preserve">Habitatpresto</t>
  </si>
  <si>
    <t xml:space="preserve">https://www.habitatpresto.com/inscription-artisan</t>
  </si>
  <si>
    <t xml:space="preserve">Plateforme leads. Gratuit base + payant lead.</t>
  </si>
  <si>
    <t xml:space="preserve">Le Moniteur — annuaire pros BTP</t>
  </si>
  <si>
    <t xml:space="preserve">https://www.lemoniteur.fr/</t>
  </si>
  <si>
    <t xml:space="preserve">Variable</t>
  </si>
  <si>
    <t xml:space="preserve">Référence presse BTP. Fiche pro souvent gratuite, articles/communiqués payants. Très fort signal.</t>
  </si>
  <si>
    <t xml:space="preserve">Batiactu</t>
  </si>
  <si>
    <t xml:space="preserve">https://www.batiactu.com/</t>
  </si>
  <si>
    <t xml:space="preserve">Gratuit (annuaire)</t>
  </si>
  <si>
    <t xml:space="preserve">Média bâtiment + annuaire entreprises. Gratuit pour fiche.</t>
  </si>
  <si>
    <t xml:space="preserve">Annuaire OPQIBI</t>
  </si>
  <si>
    <t xml:space="preserve">https://www.opqibi.com/</t>
  </si>
  <si>
    <t xml:space="preserve">Si certifié</t>
  </si>
  <si>
    <t xml:space="preserve">DoFollow + crédibilité</t>
  </si>
  <si>
    <t xml:space="preserve">Qualification ingénieur-conseil bâtiment. Si IPB obtient cette qualif, présence auto + très fort signal expertise.</t>
  </si>
  <si>
    <t xml:space="preserve">—</t>
  </si>
  <si>
    <t xml:space="preserve">Architectes pour tous (CNOA)</t>
  </si>
  <si>
    <t xml:space="preserve">https://www.architectes-pour-tous.fr/</t>
  </si>
  <si>
    <t xml:space="preserve">Ordre des Architectes. IPB fait du structurel pour archis : présence en partenariat possible.</t>
  </si>
  <si>
    <t xml:space="preserve">Annuaire Bureaux d'Études (Syntec Ingénierie)</t>
  </si>
  <si>
    <t xml:space="preserve">https://www.syntec-ingenierie.fr/</t>
  </si>
  <si>
    <t xml:space="preserve">65</t>
  </si>
  <si>
    <t xml:space="preserve">Si membre</t>
  </si>
  <si>
    <t xml:space="preserve">Fédération syndicale BE ingénierie. Adhésion payante mais réseau pro fort.</t>
  </si>
  <si>
    <t xml:space="preserve">AnnuaireBatiment.com</t>
  </si>
  <si>
    <t xml:space="preserve">https://www.annuairebatiment.com/</t>
  </si>
  <si>
    <t xml:space="preserve">Annuaire spécialisé bâtiment FR. Soumission gratuite simple.</t>
  </si>
  <si>
    <t xml:space="preserve">Le BTP</t>
  </si>
  <si>
    <t xml:space="preserve">https://www.lebtp.fr/</t>
  </si>
  <si>
    <t xml:space="preserve">45</t>
  </si>
  <si>
    <t xml:space="preserve">Annuaire pros BTP. Soumission gratuite.</t>
  </si>
  <si>
    <t xml:space="preserve">Immobilier/Expert</t>
  </si>
  <si>
    <t xml:space="preserve">Notaires de France — pros partenaires</t>
  </si>
  <si>
    <t xml:space="preserve">https://www.notaires.fr/fr</t>
  </si>
  <si>
    <t xml:space="preserve">Réseau pro</t>
  </si>
  <si>
    <t xml:space="preserve">Mention/lien</t>
  </si>
  <si>
    <t xml:space="preserve">Pas un annuaire ouvert. Travail relationnel : être référencé par notaires comme expert pré-achat. Fort levier B2B + autorité.</t>
  </si>
  <si>
    <t xml:space="preserve">SeLoger Pro</t>
  </si>
  <si>
    <t xml:space="preserve">https://pro.seloger.com/</t>
  </si>
  <si>
    <t xml:space="preserve">Payant</t>
  </si>
  <si>
    <t xml:space="preserve">Outil pour pros immo. Payant. Pertinence : faible direct (pour archis/agents pas pour expertise structure).</t>
  </si>
  <si>
    <t xml:space="preserve">Annuaire des Experts (CNEJI / CEACAP)</t>
  </si>
  <si>
    <t xml:space="preserve">https://www.ceacap.org/</t>
  </si>
  <si>
    <t xml:space="preserve">50</t>
  </si>
  <si>
    <t xml:space="preserve">Compagnie des Experts. Fort signal expertise.</t>
  </si>
  <si>
    <t xml:space="preserve">Réseau social</t>
  </si>
  <si>
    <t xml:space="preserve">LinkedIn Page Entreprise</t>
  </si>
  <si>
    <t xml:space="preserve">https://www.linkedin.com/company/setup/new/</t>
  </si>
  <si>
    <t xml:space="preserve">98</t>
  </si>
  <si>
    <t xml:space="preserve">NoFollow + autorité</t>
  </si>
  <si>
    <t xml:space="preserve">Présence indispensable. Page entreprise + posts réguliers fondateur. NoFollow mais brand signal.</t>
  </si>
  <si>
    <t xml:space="preserve">Facebook Page Pro</t>
  </si>
  <si>
    <t xml:space="preserve">https://www.facebook.com/business/</t>
  </si>
  <si>
    <t xml:space="preserve">Photos chantiers. NoFollow mais brand + reviews + maps integration.</t>
  </si>
  <si>
    <t xml:space="preserve">Instagram Business</t>
  </si>
  <si>
    <t xml:space="preserve">https://business.instagram.com/</t>
  </si>
  <si>
    <t xml:space="preserve">95</t>
  </si>
  <si>
    <t xml:space="preserve">Photos avant/après. Hashtags géolocalisés #Toulouse #FissureToulouse.</t>
  </si>
  <si>
    <t xml:space="preserve">Annuaire FR</t>
  </si>
  <si>
    <t xml:space="preserve">Verif.com</t>
  </si>
  <si>
    <t xml:space="preserve">https://www.verif.com/</t>
  </si>
  <si>
    <t xml:space="preserve">Annuaire B2B auto via SIREN. Vérifier fiche.</t>
  </si>
  <si>
    <t xml:space="preserve">Manageo</t>
  </si>
  <si>
    <t xml:space="preserve">https://www.manageo.fr/</t>
  </si>
  <si>
    <t xml:space="preserve">Annuaire B2B. Inscription simple.</t>
  </si>
  <si>
    <t xml:space="preserve">Yellowpages.fr</t>
  </si>
  <si>
    <t xml:space="preserve">https://www.yellowpages.fr/</t>
  </si>
  <si>
    <t xml:space="preserve">Variante Pages Jaunes US. Soumission rapide.</t>
  </si>
  <si>
    <t xml:space="preserve">Annuaire local</t>
  </si>
  <si>
    <t xml:space="preserve">Trustpilot</t>
  </si>
  <si>
    <t xml:space="preserve">https://fr.trustpilot.com/</t>
  </si>
  <si>
    <t xml:space="preserve">NoFollow + avis</t>
  </si>
  <si>
    <t xml:space="preserve">Centre d'avis. Lite gratuit. Bon signal réputation. Lien NoFollow mais autorité.</t>
  </si>
  <si>
    <t xml:space="preserve">Foursquare / Swarm</t>
  </si>
  <si>
    <t xml:space="preserve">https://foursquare.com/business</t>
  </si>
  <si>
    <t xml:space="preserve">Présence pour Apple Maps + autres apps. Faible effort.</t>
  </si>
  <si>
    <t xml:space="preserve">TABLEAU DE BORD — BACKLINKS IPB</t>
  </si>
  <si>
    <t xml:space="preserve">Vue globale</t>
  </si>
  <si>
    <t xml:space="preserve">Total annuaires identifiés</t>
  </si>
  <si>
    <t xml:space="preserve">En cours</t>
  </si>
  <si>
    <t xml:space="preserve">Soumis (en attente)</t>
  </si>
  <si>
    <t xml:space="preserve">Validé (lien obtenu)</t>
  </si>
  <si>
    <t xml:space="preserve">Rejeté</t>
  </si>
  <si>
    <t xml:space="preserve">Taux de validation</t>
  </si>
  <si>
    <t xml:space="preserve">Par priorité</t>
  </si>
  <si>
    <t xml:space="preserve">Total</t>
  </si>
  <si>
    <t xml:space="preserve">Validé</t>
  </si>
  <si>
    <t xml:space="preserve">% complétion</t>
  </si>
  <si>
    <t xml:space="preserve">P1</t>
  </si>
  <si>
    <t xml:space="preserve">P2</t>
  </si>
  <si>
    <t xml:space="preserve">P3</t>
  </si>
  <si>
    <t xml:space="preserve">Par catégorie</t>
  </si>
  <si>
    <t xml:space="preserve">LÉGENDE &amp; PROCESS</t>
  </si>
  <si>
    <t xml:space="preserve">PRIORITÉS</t>
  </si>
  <si>
    <t xml:space="preserve">Indispensable. À traiter dans le mois 1. Haute autorité ou signal local fort.</t>
  </si>
  <si>
    <t xml:space="preserve">Important. À traiter mois 2. Spécialisé bâtiment ou réseau pro.</t>
  </si>
  <si>
    <t xml:space="preserve">Bonus. À traiter mois 3 ou en background. Effort faible, gain marginal mais utile.</t>
  </si>
  <si>
    <t xml:space="preserve">STATUTS</t>
  </si>
  <si>
    <t xml:space="preserve">Pas encore commencé.</t>
  </si>
  <si>
    <t xml:space="preserve">Inscription en cours, formulaire commencé.</t>
  </si>
  <si>
    <t xml:space="preserve">Soumis</t>
  </si>
  <si>
    <t xml:space="preserve">Soumission envoyée, en attente validation modération.</t>
  </si>
  <si>
    <t xml:space="preserve">Backlink créé et accessible. Renseigner l'URL dans la colonne 'URL backlink obtenu'.</t>
  </si>
  <si>
    <t xml:space="preserve">Soumission refusée. Noter la raison dans 'Notes'.</t>
  </si>
  <si>
    <t xml:space="preserve">Pas applicable</t>
  </si>
  <si>
    <t xml:space="preserve">Annuaire non pertinent ou non éligible (manque qualif, payant trop cher, etc.).</t>
  </si>
  <si>
    <t xml:space="preserve">DA ESTIMÉ</t>
  </si>
  <si>
    <t xml:space="preserve">DA</t>
  </si>
  <si>
    <t xml:space="preserve">Domain Authority (échelle 0-100, source Moz/Ahrefs). Plus c'est haut, plus le backlink est puissant. Ordre de grandeur, pas valeur exacte.</t>
  </si>
  <si>
    <t xml:space="preserve">TYPE DE LIEN</t>
  </si>
  <si>
    <t xml:space="preserve">Transmet du link juice (autorité). Le mieux pour le SEO.</t>
  </si>
  <si>
    <t xml:space="preserve">Ne transmet pas de link juice mais signal de marque + trafic direct + diversification.</t>
  </si>
  <si>
    <t xml:space="preserve">PROCESS DE SOUMISSION (à respecter)</t>
  </si>
  <si>
    <t xml:space="preserve">1. NAP cohérent</t>
  </si>
  <si>
    <t xml:space="preserve">Toujours utiliser exactement la même formulation : 'IPB Expertise · 13 rue du Recteur Dottin, 31100 Toulouse · 05 82 95 33 75'. Toute incohérence brouille le signal Google.</t>
  </si>
  <si>
    <t xml:space="preserve">2. Site web</t>
  </si>
  <si>
    <t xml:space="preserve">https://www.ipb-expertise.fr (avec https et www, jamais sans).</t>
  </si>
  <si>
    <t xml:space="preserve">3. Description courte</t>
  </si>
  <si>
    <t xml:space="preserve">'Institut de pathologie et de structure du bâtiment fondé en 2019 à Toulouse. Expertise fissures, humidité, ouverture de mur porteur. 850 chantiers livrés en Occitanie.' (à adapter selon longueur autorisée).</t>
  </si>
  <si>
    <t xml:space="preserve">4. Catégories</t>
  </si>
  <si>
    <t xml:space="preserve">Bureau d'études, Expert bâtiment, Ingénieur structure, Diagnostic immobilier, Pathologie du bâtiment.</t>
  </si>
  <si>
    <t xml:space="preserve">5. Photos</t>
  </si>
  <si>
    <t xml:space="preserve">Toujours uploader 3-5 photos : bureau, fondateur, chantier en cours, avant/après. Mêmes photos partout pour cohérence.</t>
  </si>
  <si>
    <t xml:space="preserve">6. Liens internes</t>
  </si>
  <si>
    <t xml:space="preserve">Pointer vers /expert-fissures-toulouse-31, /expert-humidite-toulouse-31, /diagnostic, /contact.</t>
  </si>
  <si>
    <t xml:space="preserve">7. Vérifier la fiche après création</t>
  </si>
  <si>
    <t xml:space="preserve">Ajouter dans 'URL backlink obtenu'. Si fiche pas indexée sous 30 jours, relancer.</t>
  </si>
  <si>
    <t xml:space="preserve">RYTHME RECOMMANDÉ</t>
  </si>
  <si>
    <t xml:space="preserve">Mois 1</t>
  </si>
  <si>
    <t xml:space="preserve">Compléter toutes les P1 (10 généralistes + 7 locaux Toulouse = 17). Effort total ~6h.</t>
  </si>
  <si>
    <t xml:space="preserve">Mois 2</t>
  </si>
  <si>
    <t xml:space="preserve">Métier bâtiment + immobilier (P2 = 13). Plus exigeant (Houzz portfolio, qualif OPQIBI à voir). Effort ~5h.</t>
  </si>
  <si>
    <t xml:space="preserve">Mois 3</t>
  </si>
  <si>
    <t xml:space="preserve">P3 résiduels + relances P1/P2 + suivi indexation. Effort ~3h.</t>
  </si>
  <si>
    <t xml:space="preserve">~14h sur 3 mois pour 30+ backlinks.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</si>
</sst>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A8A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2"/>
      <color rgb="FF1A1F36"/>
      <name val="Arial"/>
      <family val="0"/>
      <charset val="1"/>
    </font>
    <font>
      <b val="true"/>
      <sz val="10"/>
      <color rgb="FF1A1F36"/>
      <name val="Arial"/>
      <family val="0"/>
      <charset val="1"/>
    </font>
    <font>
      <b val="true"/>
      <sz val="11"/>
      <color rgb="FFE8743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F36"/>
        <bgColor rgb="FF003366"/>
      </patternFill>
    </fill>
    <fill>
      <patternFill patternType="solid">
        <fgColor rgb="FFF2F2F2"/>
        <bgColor rgb="FFF5EFE6"/>
      </patternFill>
    </fill>
    <fill>
      <patternFill patternType="solid">
        <fgColor rgb="FFF5EFE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A1F36"/>
          <bgColor rgb="FF000000"/>
        </patternFill>
      </fill>
    </dxf>
    <dxf>
      <fill>
        <patternFill patternType="solid">
          <fgColor rgb="FF90A4AE"/>
          <bgColor rgb="FF000000"/>
        </patternFill>
      </fill>
    </dxf>
    <dxf>
      <fill>
        <patternFill patternType="solid">
          <fgColor rgb="FFE8743C"/>
          <bgColor rgb="FF000000"/>
        </patternFill>
      </fill>
    </dxf>
    <dxf>
      <fill>
        <patternFill patternType="solid">
          <fgColor rgb="FFFBC02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BBDEFB"/>
        </patternFill>
      </fill>
    </dxf>
    <dxf>
      <fill>
        <patternFill>
          <bgColor rgb="FFFFCDD2"/>
        </patternFill>
      </fill>
    </dxf>
    <dxf>
      <fill>
        <patternFill>
          <bgColor rgb="FFE0E0E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E8743C"/>
        </patternFill>
      </fill>
    </dxf>
    <dxf>
      <font>
        <name val="Arial"/>
        <charset val="1"/>
        <family val="0"/>
        <b val="1"/>
        <color rgb="FF1A1F36"/>
        <sz val="10"/>
      </font>
      <fill>
        <patternFill>
          <bgColor rgb="FFFBC02D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90A4A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A8A8A"/>
      <rgbColor rgb="FF9999FF"/>
      <rgbColor rgb="FF993366"/>
      <rgbColor rgb="FFF5EFE6"/>
      <rgbColor rgb="FFF2F2F2"/>
      <rgbColor rgb="FF660066"/>
      <rgbColor rgb="FFFF8080"/>
      <rgbColor rgb="FF0563C1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C8E6C9"/>
      <rgbColor rgb="FFFFF59D"/>
      <rgbColor rgb="FF99CCFF"/>
      <rgbColor rgb="FFFF99CC"/>
      <rgbColor rgb="FFCC99FF"/>
      <rgbColor rgb="FFFFCDD2"/>
      <rgbColor rgb="FF3366FF"/>
      <rgbColor rgb="FF33CCCC"/>
      <rgbColor rgb="FF99CC00"/>
      <rgbColor rgb="FFFBC02D"/>
      <rgbColor rgb="FFFF9900"/>
      <rgbColor rgb="FFE8743C"/>
      <rgbColor rgb="FF666699"/>
      <rgbColor rgb="FF90A4AE"/>
      <rgbColor rgb="FF003366"/>
      <rgbColor rgb="FF339966"/>
      <rgbColor rgb="FF003300"/>
      <rgbColor rgb="FF333300"/>
      <rgbColor rgb="FF993300"/>
      <rgbColor rgb="FF993366"/>
      <rgbColor rgb="FF333399"/>
      <rgbColor rgb="FF1A1F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pagesjaunes.fr/pros/devenir-client" TargetMode="External"/><Relationship Id="rId2" Type="http://schemas.openxmlformats.org/officeDocument/2006/relationships/hyperlink" Target="https://www.google.com/business/" TargetMode="External"/><Relationship Id="rId3" Type="http://schemas.openxmlformats.org/officeDocument/2006/relationships/hyperlink" Target="https://www.bingplaces.com/" TargetMode="External"/><Relationship Id="rId4" Type="http://schemas.openxmlformats.org/officeDocument/2006/relationships/hyperlink" Target="https://mapsconnect.apple.com/" TargetMode="External"/><Relationship Id="rId5" Type="http://schemas.openxmlformats.org/officeDocument/2006/relationships/hyperlink" Target="https://biz.yelp.fr/" TargetMode="External"/><Relationship Id="rId6" Type="http://schemas.openxmlformats.org/officeDocument/2006/relationships/hyperlink" Target="https://hoodspot.fr/" TargetMode="External"/><Relationship Id="rId7" Type="http://schemas.openxmlformats.org/officeDocument/2006/relationships/hyperlink" Target="https://www.justacote.com/" TargetMode="External"/><Relationship Id="rId8" Type="http://schemas.openxmlformats.org/officeDocument/2006/relationships/hyperlink" Target="https://www.cylex-france.fr/" TargetMode="External"/><Relationship Id="rId9" Type="http://schemas.openxmlformats.org/officeDocument/2006/relationships/hyperlink" Target="https://fr.kompass.com/" TargetMode="External"/><Relationship Id="rId10" Type="http://schemas.openxmlformats.org/officeDocument/2006/relationships/hyperlink" Target="https://www.societe.com/" TargetMode="External"/><Relationship Id="rId11" Type="http://schemas.openxmlformats.org/officeDocument/2006/relationships/hyperlink" Target="https://www.toulouse.cci.fr/annuaire-entreprises" TargetMode="External"/><Relationship Id="rId12" Type="http://schemas.openxmlformats.org/officeDocument/2006/relationships/hyperlink" Target="https://www.toulouse-metropole.fr/" TargetMode="External"/><Relationship Id="rId13" Type="http://schemas.openxmlformats.org/officeDocument/2006/relationships/hyperlink" Target="https://www.haute-garonne.fr/" TargetMode="External"/><Relationship Id="rId14" Type="http://schemas.openxmlformats.org/officeDocument/2006/relationships/hyperlink" Target="https://www.laregion.fr/" TargetMode="External"/><Relationship Id="rId15" Type="http://schemas.openxmlformats.org/officeDocument/2006/relationships/hyperlink" Target="https://www.cma-toulouse.fr/" TargetMode="External"/><Relationship Id="rId16" Type="http://schemas.openxmlformats.org/officeDocument/2006/relationships/hyperlink" Target="https://www.madeinoccitanie.com/" TargetMode="External"/><Relationship Id="rId17" Type="http://schemas.openxmlformats.org/officeDocument/2006/relationships/hyperlink" Target="https://www.toulouse.org/" TargetMode="External"/><Relationship Id="rId18" Type="http://schemas.openxmlformats.org/officeDocument/2006/relationships/hyperlink" Target="https://www.houzz.fr/professionnels/inscription" TargetMode="External"/><Relationship Id="rId19" Type="http://schemas.openxmlformats.org/officeDocument/2006/relationships/hyperlink" Target="https://www.travaux.com/inscription-pro" TargetMode="External"/><Relationship Id="rId20" Type="http://schemas.openxmlformats.org/officeDocument/2006/relationships/hyperlink" Target="https://www.habitatpresto.com/inscription-artisan" TargetMode="External"/><Relationship Id="rId21" Type="http://schemas.openxmlformats.org/officeDocument/2006/relationships/hyperlink" Target="https://www.lemoniteur.fr/" TargetMode="External"/><Relationship Id="rId22" Type="http://schemas.openxmlformats.org/officeDocument/2006/relationships/hyperlink" Target="https://www.batiactu.com/" TargetMode="External"/><Relationship Id="rId23" Type="http://schemas.openxmlformats.org/officeDocument/2006/relationships/hyperlink" Target="https://www.opqibi.com/" TargetMode="External"/><Relationship Id="rId24" Type="http://schemas.openxmlformats.org/officeDocument/2006/relationships/hyperlink" Target="https://www.architectes-pour-tous.fr/" TargetMode="External"/><Relationship Id="rId25" Type="http://schemas.openxmlformats.org/officeDocument/2006/relationships/hyperlink" Target="https://www.syntec-ingenierie.fr/" TargetMode="External"/><Relationship Id="rId26" Type="http://schemas.openxmlformats.org/officeDocument/2006/relationships/hyperlink" Target="https://www.annuairebatiment.com/" TargetMode="External"/><Relationship Id="rId27" Type="http://schemas.openxmlformats.org/officeDocument/2006/relationships/hyperlink" Target="https://www.lebtp.fr/" TargetMode="External"/><Relationship Id="rId28" Type="http://schemas.openxmlformats.org/officeDocument/2006/relationships/hyperlink" Target="https://www.notaires.fr/fr" TargetMode="External"/><Relationship Id="rId29" Type="http://schemas.openxmlformats.org/officeDocument/2006/relationships/hyperlink" Target="https://pro.seloger.com/" TargetMode="External"/><Relationship Id="rId30" Type="http://schemas.openxmlformats.org/officeDocument/2006/relationships/hyperlink" Target="https://www.ceacap.org/" TargetMode="External"/><Relationship Id="rId31" Type="http://schemas.openxmlformats.org/officeDocument/2006/relationships/hyperlink" Target="https://www.linkedin.com/company/setup/new/" TargetMode="External"/><Relationship Id="rId32" Type="http://schemas.openxmlformats.org/officeDocument/2006/relationships/hyperlink" Target="https://www.facebook.com/business/" TargetMode="External"/><Relationship Id="rId33" Type="http://schemas.openxmlformats.org/officeDocument/2006/relationships/hyperlink" Target="https://business.instagram.com/" TargetMode="External"/><Relationship Id="rId34" Type="http://schemas.openxmlformats.org/officeDocument/2006/relationships/hyperlink" Target="https://www.verif.com/" TargetMode="External"/><Relationship Id="rId35" Type="http://schemas.openxmlformats.org/officeDocument/2006/relationships/hyperlink" Target="https://www.manageo.fr/" TargetMode="External"/><Relationship Id="rId36" Type="http://schemas.openxmlformats.org/officeDocument/2006/relationships/hyperlink" Target="https://www.yellowpages.fr/" TargetMode="External"/><Relationship Id="rId37" Type="http://schemas.openxmlformats.org/officeDocument/2006/relationships/hyperlink" Target="https://fr.trustpilot.com/" TargetMode="External"/><Relationship Id="rId38" Type="http://schemas.openxmlformats.org/officeDocument/2006/relationships/hyperlink" Target="https://foursquare.com/business" TargetMode="External"/><Relationship Id="rId3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3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32"/>
    <col collapsed="false" customWidth="true" hidden="false" outlineLevel="0" max="11" min="11" style="0" width="50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7.5" hidden="false" customHeight="true" outlineLevel="0" collapsed="false">
      <c r="A5" s="4" t="n">
        <v>1</v>
      </c>
      <c r="B5" s="4" t="s">
        <v>14</v>
      </c>
      <c r="C5" s="5" t="s">
        <v>15</v>
      </c>
      <c r="D5" s="6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/>
      <c r="J5" s="4"/>
      <c r="K5" s="5" t="s">
        <v>21</v>
      </c>
      <c r="L5" s="4" t="n">
        <v>30</v>
      </c>
    </row>
    <row r="6" customFormat="false" ht="37.5" hidden="false" customHeight="true" outlineLevel="0" collapsed="false">
      <c r="A6" s="7" t="n">
        <v>1</v>
      </c>
      <c r="B6" s="7" t="s">
        <v>14</v>
      </c>
      <c r="C6" s="8" t="s">
        <v>22</v>
      </c>
      <c r="D6" s="9" t="s">
        <v>23</v>
      </c>
      <c r="E6" s="7" t="s">
        <v>24</v>
      </c>
      <c r="F6" s="7" t="s">
        <v>25</v>
      </c>
      <c r="G6" s="7" t="s">
        <v>26</v>
      </c>
      <c r="H6" s="7" t="s">
        <v>20</v>
      </c>
      <c r="I6" s="7"/>
      <c r="J6" s="7"/>
      <c r="K6" s="8" t="s">
        <v>27</v>
      </c>
      <c r="L6" s="7" t="n">
        <v>60</v>
      </c>
    </row>
    <row r="7" customFormat="false" ht="37.5" hidden="false" customHeight="true" outlineLevel="0" collapsed="false">
      <c r="A7" s="4" t="n">
        <v>1</v>
      </c>
      <c r="B7" s="4" t="s">
        <v>14</v>
      </c>
      <c r="C7" s="5" t="s">
        <v>28</v>
      </c>
      <c r="D7" s="6" t="s">
        <v>29</v>
      </c>
      <c r="E7" s="4" t="s">
        <v>30</v>
      </c>
      <c r="F7" s="4" t="s">
        <v>25</v>
      </c>
      <c r="G7" s="4" t="s">
        <v>31</v>
      </c>
      <c r="H7" s="4" t="s">
        <v>20</v>
      </c>
      <c r="I7" s="4"/>
      <c r="J7" s="4"/>
      <c r="K7" s="5" t="s">
        <v>32</v>
      </c>
      <c r="L7" s="4" t="n">
        <v>20</v>
      </c>
    </row>
    <row r="8" customFormat="false" ht="37.5" hidden="false" customHeight="true" outlineLevel="0" collapsed="false">
      <c r="A8" s="7" t="n">
        <v>1</v>
      </c>
      <c r="B8" s="7" t="s">
        <v>14</v>
      </c>
      <c r="C8" s="8" t="s">
        <v>33</v>
      </c>
      <c r="D8" s="9" t="s">
        <v>34</v>
      </c>
      <c r="E8" s="7" t="s">
        <v>24</v>
      </c>
      <c r="F8" s="7" t="s">
        <v>25</v>
      </c>
      <c r="G8" s="7" t="s">
        <v>35</v>
      </c>
      <c r="H8" s="7" t="s">
        <v>20</v>
      </c>
      <c r="I8" s="7"/>
      <c r="J8" s="7"/>
      <c r="K8" s="8" t="s">
        <v>36</v>
      </c>
      <c r="L8" s="7" t="n">
        <v>20</v>
      </c>
    </row>
    <row r="9" customFormat="false" ht="37.5" hidden="false" customHeight="true" outlineLevel="0" collapsed="false">
      <c r="A9" s="4" t="n">
        <v>1</v>
      </c>
      <c r="B9" s="4" t="s">
        <v>14</v>
      </c>
      <c r="C9" s="5" t="s">
        <v>37</v>
      </c>
      <c r="D9" s="6" t="s">
        <v>38</v>
      </c>
      <c r="E9" s="4" t="s">
        <v>39</v>
      </c>
      <c r="F9" s="4" t="s">
        <v>18</v>
      </c>
      <c r="G9" s="4" t="s">
        <v>40</v>
      </c>
      <c r="H9" s="4" t="s">
        <v>20</v>
      </c>
      <c r="I9" s="4"/>
      <c r="J9" s="4"/>
      <c r="K9" s="5" t="s">
        <v>41</v>
      </c>
      <c r="L9" s="4" t="n">
        <v>25</v>
      </c>
    </row>
    <row r="10" customFormat="false" ht="37.5" hidden="false" customHeight="true" outlineLevel="0" collapsed="false">
      <c r="A10" s="7" t="n">
        <v>1</v>
      </c>
      <c r="B10" s="7" t="s">
        <v>14</v>
      </c>
      <c r="C10" s="8" t="s">
        <v>42</v>
      </c>
      <c r="D10" s="9" t="s">
        <v>43</v>
      </c>
      <c r="E10" s="7" t="s">
        <v>44</v>
      </c>
      <c r="F10" s="7" t="s">
        <v>25</v>
      </c>
      <c r="G10" s="7" t="s">
        <v>19</v>
      </c>
      <c r="H10" s="7" t="s">
        <v>20</v>
      </c>
      <c r="I10" s="7"/>
      <c r="J10" s="7"/>
      <c r="K10" s="8" t="s">
        <v>45</v>
      </c>
      <c r="L10" s="7" t="n">
        <v>15</v>
      </c>
    </row>
    <row r="11" customFormat="false" ht="37.5" hidden="false" customHeight="true" outlineLevel="0" collapsed="false">
      <c r="A11" s="4" t="n">
        <v>1</v>
      </c>
      <c r="B11" s="4" t="s">
        <v>14</v>
      </c>
      <c r="C11" s="5" t="s">
        <v>46</v>
      </c>
      <c r="D11" s="6" t="s">
        <v>47</v>
      </c>
      <c r="E11" s="4" t="s">
        <v>44</v>
      </c>
      <c r="F11" s="4" t="s">
        <v>25</v>
      </c>
      <c r="G11" s="4" t="s">
        <v>19</v>
      </c>
      <c r="H11" s="4" t="s">
        <v>20</v>
      </c>
      <c r="I11" s="4"/>
      <c r="J11" s="4"/>
      <c r="K11" s="5" t="s">
        <v>48</v>
      </c>
      <c r="L11" s="4" t="n">
        <v>15</v>
      </c>
    </row>
    <row r="12" customFormat="false" ht="37.5" hidden="false" customHeight="true" outlineLevel="0" collapsed="false">
      <c r="A12" s="7" t="n">
        <v>1</v>
      </c>
      <c r="B12" s="7" t="s">
        <v>14</v>
      </c>
      <c r="C12" s="8" t="s">
        <v>49</v>
      </c>
      <c r="D12" s="9" t="s">
        <v>50</v>
      </c>
      <c r="E12" s="7" t="s">
        <v>51</v>
      </c>
      <c r="F12" s="7" t="s">
        <v>25</v>
      </c>
      <c r="G12" s="7" t="s">
        <v>19</v>
      </c>
      <c r="H12" s="7" t="s">
        <v>20</v>
      </c>
      <c r="I12" s="7"/>
      <c r="J12" s="7"/>
      <c r="K12" s="8" t="s">
        <v>52</v>
      </c>
      <c r="L12" s="7" t="n">
        <v>15</v>
      </c>
    </row>
    <row r="13" customFormat="false" ht="37.5" hidden="false" customHeight="true" outlineLevel="0" collapsed="false">
      <c r="A13" s="4" t="n">
        <v>1</v>
      </c>
      <c r="B13" s="4" t="s">
        <v>14</v>
      </c>
      <c r="C13" s="5" t="s">
        <v>53</v>
      </c>
      <c r="D13" s="6" t="s">
        <v>54</v>
      </c>
      <c r="E13" s="4" t="s">
        <v>55</v>
      </c>
      <c r="F13" s="4" t="s">
        <v>18</v>
      </c>
      <c r="G13" s="4" t="s">
        <v>19</v>
      </c>
      <c r="H13" s="4" t="s">
        <v>20</v>
      </c>
      <c r="I13" s="4"/>
      <c r="J13" s="4"/>
      <c r="K13" s="5" t="s">
        <v>56</v>
      </c>
      <c r="L13" s="4" t="n">
        <v>20</v>
      </c>
    </row>
    <row r="14" customFormat="false" ht="37.5" hidden="false" customHeight="true" outlineLevel="0" collapsed="false">
      <c r="A14" s="7" t="n">
        <v>1</v>
      </c>
      <c r="B14" s="7" t="s">
        <v>14</v>
      </c>
      <c r="C14" s="8" t="s">
        <v>57</v>
      </c>
      <c r="D14" s="9" t="s">
        <v>58</v>
      </c>
      <c r="E14" s="7" t="s">
        <v>59</v>
      </c>
      <c r="F14" s="7" t="s">
        <v>60</v>
      </c>
      <c r="G14" s="7" t="s">
        <v>19</v>
      </c>
      <c r="H14" s="7" t="s">
        <v>20</v>
      </c>
      <c r="I14" s="7"/>
      <c r="J14" s="7"/>
      <c r="K14" s="8" t="s">
        <v>61</v>
      </c>
      <c r="L14" s="7" t="n">
        <v>10</v>
      </c>
    </row>
    <row r="15" customFormat="false" ht="37.5" hidden="false" customHeight="true" outlineLevel="0" collapsed="false">
      <c r="A15" s="4" t="n">
        <v>1</v>
      </c>
      <c r="B15" s="4" t="s">
        <v>62</v>
      </c>
      <c r="C15" s="5" t="s">
        <v>63</v>
      </c>
      <c r="D15" s="6" t="s">
        <v>64</v>
      </c>
      <c r="E15" s="4" t="s">
        <v>44</v>
      </c>
      <c r="F15" s="4" t="s">
        <v>65</v>
      </c>
      <c r="G15" s="4" t="s">
        <v>19</v>
      </c>
      <c r="H15" s="4" t="s">
        <v>20</v>
      </c>
      <c r="I15" s="4"/>
      <c r="J15" s="4"/>
      <c r="K15" s="5" t="s">
        <v>66</v>
      </c>
      <c r="L15" s="4" t="n">
        <v>30</v>
      </c>
    </row>
    <row r="16" customFormat="false" ht="37.5" hidden="false" customHeight="true" outlineLevel="0" collapsed="false">
      <c r="A16" s="7" t="n">
        <v>1</v>
      </c>
      <c r="B16" s="7" t="s">
        <v>62</v>
      </c>
      <c r="C16" s="8" t="s">
        <v>67</v>
      </c>
      <c r="D16" s="9" t="s">
        <v>68</v>
      </c>
      <c r="E16" s="7" t="s">
        <v>59</v>
      </c>
      <c r="F16" s="7" t="s">
        <v>25</v>
      </c>
      <c r="G16" s="7" t="s">
        <v>19</v>
      </c>
      <c r="H16" s="7" t="s">
        <v>20</v>
      </c>
      <c r="I16" s="7"/>
      <c r="J16" s="7"/>
      <c r="K16" s="8" t="s">
        <v>69</v>
      </c>
      <c r="L16" s="7" t="n">
        <v>30</v>
      </c>
    </row>
    <row r="17" customFormat="false" ht="37.5" hidden="false" customHeight="true" outlineLevel="0" collapsed="false">
      <c r="A17" s="4" t="n">
        <v>1</v>
      </c>
      <c r="B17" s="4" t="s">
        <v>62</v>
      </c>
      <c r="C17" s="5" t="s">
        <v>70</v>
      </c>
      <c r="D17" s="6" t="s">
        <v>71</v>
      </c>
      <c r="E17" s="4" t="s">
        <v>55</v>
      </c>
      <c r="F17" s="4" t="s">
        <v>25</v>
      </c>
      <c r="G17" s="4" t="s">
        <v>19</v>
      </c>
      <c r="H17" s="4" t="s">
        <v>20</v>
      </c>
      <c r="I17" s="4"/>
      <c r="J17" s="4"/>
      <c r="K17" s="5" t="s">
        <v>72</v>
      </c>
      <c r="L17" s="4" t="n">
        <v>30</v>
      </c>
    </row>
    <row r="18" customFormat="false" ht="37.5" hidden="false" customHeight="true" outlineLevel="0" collapsed="false">
      <c r="A18" s="7" t="n">
        <v>1</v>
      </c>
      <c r="B18" s="7" t="s">
        <v>62</v>
      </c>
      <c r="C18" s="8" t="s">
        <v>73</v>
      </c>
      <c r="D18" s="9" t="s">
        <v>74</v>
      </c>
      <c r="E18" s="7" t="s">
        <v>59</v>
      </c>
      <c r="F18" s="7" t="s">
        <v>25</v>
      </c>
      <c r="G18" s="7" t="s">
        <v>19</v>
      </c>
      <c r="H18" s="7" t="s">
        <v>20</v>
      </c>
      <c r="I18" s="7"/>
      <c r="J18" s="7"/>
      <c r="K18" s="8" t="s">
        <v>75</v>
      </c>
      <c r="L18" s="7" t="n">
        <v>25</v>
      </c>
    </row>
    <row r="19" customFormat="false" ht="37.5" hidden="false" customHeight="true" outlineLevel="0" collapsed="false">
      <c r="A19" s="4" t="n">
        <v>1</v>
      </c>
      <c r="B19" s="4" t="s">
        <v>62</v>
      </c>
      <c r="C19" s="5" t="s">
        <v>76</v>
      </c>
      <c r="D19" s="6" t="s">
        <v>77</v>
      </c>
      <c r="E19" s="4" t="s">
        <v>44</v>
      </c>
      <c r="F19" s="4" t="s">
        <v>65</v>
      </c>
      <c r="G19" s="4" t="s">
        <v>19</v>
      </c>
      <c r="H19" s="4" t="s">
        <v>20</v>
      </c>
      <c r="I19" s="4"/>
      <c r="J19" s="4"/>
      <c r="K19" s="5" t="s">
        <v>78</v>
      </c>
      <c r="L19" s="4" t="n">
        <v>20</v>
      </c>
    </row>
    <row r="20" customFormat="false" ht="37.5" hidden="false" customHeight="true" outlineLevel="0" collapsed="false">
      <c r="A20" s="7" t="n">
        <v>1</v>
      </c>
      <c r="B20" s="7" t="s">
        <v>62</v>
      </c>
      <c r="C20" s="8" t="s">
        <v>79</v>
      </c>
      <c r="D20" s="9" t="s">
        <v>80</v>
      </c>
      <c r="E20" s="7" t="s">
        <v>81</v>
      </c>
      <c r="F20" s="7" t="s">
        <v>25</v>
      </c>
      <c r="G20" s="7" t="s">
        <v>19</v>
      </c>
      <c r="H20" s="7" t="s">
        <v>20</v>
      </c>
      <c r="I20" s="7"/>
      <c r="J20" s="7"/>
      <c r="K20" s="8" t="s">
        <v>82</v>
      </c>
      <c r="L20" s="7" t="n">
        <v>15</v>
      </c>
    </row>
    <row r="21" customFormat="false" ht="37.5" hidden="false" customHeight="true" outlineLevel="0" collapsed="false">
      <c r="A21" s="4" t="n">
        <v>1</v>
      </c>
      <c r="B21" s="4" t="s">
        <v>62</v>
      </c>
      <c r="C21" s="5" t="s">
        <v>83</v>
      </c>
      <c r="D21" s="6" t="s">
        <v>84</v>
      </c>
      <c r="E21" s="4" t="s">
        <v>85</v>
      </c>
      <c r="F21" s="4" t="s">
        <v>25</v>
      </c>
      <c r="G21" s="4" t="s">
        <v>19</v>
      </c>
      <c r="H21" s="4" t="s">
        <v>20</v>
      </c>
      <c r="I21" s="4"/>
      <c r="J21" s="4"/>
      <c r="K21" s="5" t="s">
        <v>86</v>
      </c>
      <c r="L21" s="4" t="n">
        <v>15</v>
      </c>
    </row>
    <row r="22" customFormat="false" ht="37.5" hidden="false" customHeight="true" outlineLevel="0" collapsed="false">
      <c r="A22" s="7" t="n">
        <v>2</v>
      </c>
      <c r="B22" s="7" t="s">
        <v>87</v>
      </c>
      <c r="C22" s="8" t="s">
        <v>88</v>
      </c>
      <c r="D22" s="9" t="s">
        <v>89</v>
      </c>
      <c r="E22" s="7" t="s">
        <v>90</v>
      </c>
      <c r="F22" s="7" t="s">
        <v>91</v>
      </c>
      <c r="G22" s="7" t="s">
        <v>92</v>
      </c>
      <c r="H22" s="7" t="s">
        <v>20</v>
      </c>
      <c r="I22" s="7"/>
      <c r="J22" s="7"/>
      <c r="K22" s="8" t="s">
        <v>93</v>
      </c>
      <c r="L22" s="7" t="n">
        <v>90</v>
      </c>
    </row>
    <row r="23" customFormat="false" ht="37.5" hidden="false" customHeight="true" outlineLevel="0" collapsed="false">
      <c r="A23" s="4" t="n">
        <v>2</v>
      </c>
      <c r="B23" s="4" t="s">
        <v>87</v>
      </c>
      <c r="C23" s="5" t="s">
        <v>94</v>
      </c>
      <c r="D23" s="6" t="s">
        <v>95</v>
      </c>
      <c r="E23" s="4" t="s">
        <v>55</v>
      </c>
      <c r="F23" s="4" t="s">
        <v>96</v>
      </c>
      <c r="G23" s="4" t="s">
        <v>19</v>
      </c>
      <c r="H23" s="4" t="s">
        <v>20</v>
      </c>
      <c r="I23" s="4"/>
      <c r="J23" s="4"/>
      <c r="K23" s="5" t="s">
        <v>97</v>
      </c>
      <c r="L23" s="4" t="n">
        <v>30</v>
      </c>
    </row>
    <row r="24" customFormat="false" ht="37.5" hidden="false" customHeight="true" outlineLevel="0" collapsed="false">
      <c r="A24" s="7" t="n">
        <v>2</v>
      </c>
      <c r="B24" s="7" t="s">
        <v>87</v>
      </c>
      <c r="C24" s="8" t="s">
        <v>98</v>
      </c>
      <c r="D24" s="9" t="s">
        <v>99</v>
      </c>
      <c r="E24" s="7" t="s">
        <v>51</v>
      </c>
      <c r="F24" s="7" t="s">
        <v>96</v>
      </c>
      <c r="G24" s="7" t="s">
        <v>19</v>
      </c>
      <c r="H24" s="7" t="s">
        <v>20</v>
      </c>
      <c r="I24" s="7"/>
      <c r="J24" s="7"/>
      <c r="K24" s="8" t="s">
        <v>100</v>
      </c>
      <c r="L24" s="7" t="n">
        <v>30</v>
      </c>
    </row>
    <row r="25" customFormat="false" ht="37.5" hidden="false" customHeight="true" outlineLevel="0" collapsed="false">
      <c r="A25" s="4" t="n">
        <v>2</v>
      </c>
      <c r="B25" s="4" t="s">
        <v>87</v>
      </c>
      <c r="C25" s="5" t="s">
        <v>101</v>
      </c>
      <c r="D25" s="6" t="s">
        <v>102</v>
      </c>
      <c r="E25" s="4" t="s">
        <v>17</v>
      </c>
      <c r="F25" s="4" t="s">
        <v>103</v>
      </c>
      <c r="G25" s="4" t="s">
        <v>19</v>
      </c>
      <c r="H25" s="4" t="s">
        <v>20</v>
      </c>
      <c r="I25" s="4"/>
      <c r="J25" s="4"/>
      <c r="K25" s="5" t="s">
        <v>104</v>
      </c>
      <c r="L25" s="4" t="n">
        <v>30</v>
      </c>
    </row>
    <row r="26" customFormat="false" ht="37.5" hidden="false" customHeight="true" outlineLevel="0" collapsed="false">
      <c r="A26" s="7" t="n">
        <v>2</v>
      </c>
      <c r="B26" s="7" t="s">
        <v>87</v>
      </c>
      <c r="C26" s="8" t="s">
        <v>105</v>
      </c>
      <c r="D26" s="9" t="s">
        <v>106</v>
      </c>
      <c r="E26" s="7" t="s">
        <v>59</v>
      </c>
      <c r="F26" s="7" t="s">
        <v>107</v>
      </c>
      <c r="G26" s="7" t="s">
        <v>19</v>
      </c>
      <c r="H26" s="7" t="s">
        <v>20</v>
      </c>
      <c r="I26" s="7"/>
      <c r="J26" s="7"/>
      <c r="K26" s="8" t="s">
        <v>108</v>
      </c>
      <c r="L26" s="7" t="n">
        <v>25</v>
      </c>
    </row>
    <row r="27" customFormat="false" ht="37.5" hidden="false" customHeight="true" outlineLevel="0" collapsed="false">
      <c r="A27" s="4" t="n">
        <v>2</v>
      </c>
      <c r="B27" s="4" t="s">
        <v>87</v>
      </c>
      <c r="C27" s="5" t="s">
        <v>109</v>
      </c>
      <c r="D27" s="6" t="s">
        <v>110</v>
      </c>
      <c r="E27" s="4" t="s">
        <v>51</v>
      </c>
      <c r="F27" s="4" t="s">
        <v>111</v>
      </c>
      <c r="G27" s="4" t="s">
        <v>112</v>
      </c>
      <c r="H27" s="4" t="s">
        <v>20</v>
      </c>
      <c r="I27" s="4"/>
      <c r="J27" s="4"/>
      <c r="K27" s="5" t="s">
        <v>113</v>
      </c>
      <c r="L27" s="4" t="s">
        <v>114</v>
      </c>
    </row>
    <row r="28" customFormat="false" ht="37.5" hidden="false" customHeight="true" outlineLevel="0" collapsed="false">
      <c r="A28" s="7" t="n">
        <v>2</v>
      </c>
      <c r="B28" s="7" t="s">
        <v>87</v>
      </c>
      <c r="C28" s="8" t="s">
        <v>115</v>
      </c>
      <c r="D28" s="9" t="s">
        <v>116</v>
      </c>
      <c r="E28" s="7" t="s">
        <v>55</v>
      </c>
      <c r="F28" s="7" t="s">
        <v>25</v>
      </c>
      <c r="G28" s="7" t="s">
        <v>19</v>
      </c>
      <c r="H28" s="7" t="s">
        <v>20</v>
      </c>
      <c r="I28" s="7"/>
      <c r="J28" s="7"/>
      <c r="K28" s="8" t="s">
        <v>117</v>
      </c>
      <c r="L28" s="7" t="n">
        <v>30</v>
      </c>
    </row>
    <row r="29" customFormat="false" ht="37.5" hidden="false" customHeight="true" outlineLevel="0" collapsed="false">
      <c r="A29" s="4" t="n">
        <v>2</v>
      </c>
      <c r="B29" s="4" t="s">
        <v>87</v>
      </c>
      <c r="C29" s="5" t="s">
        <v>118</v>
      </c>
      <c r="D29" s="6" t="s">
        <v>119</v>
      </c>
      <c r="E29" s="4" t="s">
        <v>120</v>
      </c>
      <c r="F29" s="4" t="s">
        <v>121</v>
      </c>
      <c r="G29" s="4" t="s">
        <v>19</v>
      </c>
      <c r="H29" s="4" t="s">
        <v>20</v>
      </c>
      <c r="I29" s="4"/>
      <c r="J29" s="4"/>
      <c r="K29" s="5" t="s">
        <v>122</v>
      </c>
      <c r="L29" s="4" t="n">
        <v>30</v>
      </c>
    </row>
    <row r="30" customFormat="false" ht="37.5" hidden="false" customHeight="true" outlineLevel="0" collapsed="false">
      <c r="A30" s="7" t="n">
        <v>2</v>
      </c>
      <c r="B30" s="7" t="s">
        <v>87</v>
      </c>
      <c r="C30" s="8" t="s">
        <v>123</v>
      </c>
      <c r="D30" s="9" t="s">
        <v>124</v>
      </c>
      <c r="E30" s="7" t="s">
        <v>85</v>
      </c>
      <c r="F30" s="7" t="s">
        <v>25</v>
      </c>
      <c r="G30" s="7" t="s">
        <v>19</v>
      </c>
      <c r="H30" s="7" t="s">
        <v>20</v>
      </c>
      <c r="I30" s="7"/>
      <c r="J30" s="7"/>
      <c r="K30" s="8" t="s">
        <v>125</v>
      </c>
      <c r="L30" s="7" t="n">
        <v>15</v>
      </c>
    </row>
    <row r="31" customFormat="false" ht="37.5" hidden="false" customHeight="true" outlineLevel="0" collapsed="false">
      <c r="A31" s="4" t="n">
        <v>2</v>
      </c>
      <c r="B31" s="4" t="s">
        <v>87</v>
      </c>
      <c r="C31" s="5" t="s">
        <v>126</v>
      </c>
      <c r="D31" s="6" t="s">
        <v>127</v>
      </c>
      <c r="E31" s="4" t="s">
        <v>128</v>
      </c>
      <c r="F31" s="4" t="s">
        <v>25</v>
      </c>
      <c r="G31" s="4" t="s">
        <v>19</v>
      </c>
      <c r="H31" s="4" t="s">
        <v>20</v>
      </c>
      <c r="I31" s="4"/>
      <c r="J31" s="4"/>
      <c r="K31" s="5" t="s">
        <v>129</v>
      </c>
      <c r="L31" s="4" t="n">
        <v>15</v>
      </c>
    </row>
    <row r="32" customFormat="false" ht="37.5" hidden="false" customHeight="true" outlineLevel="0" collapsed="false">
      <c r="A32" s="7" t="n">
        <v>2</v>
      </c>
      <c r="B32" s="7" t="s">
        <v>130</v>
      </c>
      <c r="C32" s="8" t="s">
        <v>131</v>
      </c>
      <c r="D32" s="9" t="s">
        <v>132</v>
      </c>
      <c r="E32" s="7" t="s">
        <v>17</v>
      </c>
      <c r="F32" s="7" t="s">
        <v>133</v>
      </c>
      <c r="G32" s="7" t="s">
        <v>134</v>
      </c>
      <c r="H32" s="7" t="s">
        <v>20</v>
      </c>
      <c r="I32" s="7"/>
      <c r="J32" s="7"/>
      <c r="K32" s="8" t="s">
        <v>135</v>
      </c>
      <c r="L32" s="7" t="s">
        <v>114</v>
      </c>
    </row>
    <row r="33" customFormat="false" ht="37.5" hidden="false" customHeight="true" outlineLevel="0" collapsed="false">
      <c r="A33" s="4" t="n">
        <v>2</v>
      </c>
      <c r="B33" s="4" t="s">
        <v>130</v>
      </c>
      <c r="C33" s="5" t="s">
        <v>136</v>
      </c>
      <c r="D33" s="6" t="s">
        <v>137</v>
      </c>
      <c r="E33" s="4" t="s">
        <v>17</v>
      </c>
      <c r="F33" s="4" t="s">
        <v>138</v>
      </c>
      <c r="G33" s="4" t="s">
        <v>19</v>
      </c>
      <c r="H33" s="4" t="s">
        <v>20</v>
      </c>
      <c r="I33" s="4"/>
      <c r="J33" s="4"/>
      <c r="K33" s="5" t="s">
        <v>139</v>
      </c>
      <c r="L33" s="4" t="s">
        <v>114</v>
      </c>
    </row>
    <row r="34" customFormat="false" ht="37.5" hidden="false" customHeight="true" outlineLevel="0" collapsed="false">
      <c r="A34" s="7" t="n">
        <v>2</v>
      </c>
      <c r="B34" s="7" t="s">
        <v>130</v>
      </c>
      <c r="C34" s="8" t="s">
        <v>140</v>
      </c>
      <c r="D34" s="9" t="s">
        <v>141</v>
      </c>
      <c r="E34" s="7" t="s">
        <v>142</v>
      </c>
      <c r="F34" s="7" t="s">
        <v>121</v>
      </c>
      <c r="G34" s="7" t="s">
        <v>112</v>
      </c>
      <c r="H34" s="7" t="s">
        <v>20</v>
      </c>
      <c r="I34" s="7"/>
      <c r="J34" s="7"/>
      <c r="K34" s="8" t="s">
        <v>143</v>
      </c>
      <c r="L34" s="7" t="s">
        <v>114</v>
      </c>
    </row>
    <row r="35" customFormat="false" ht="37.5" hidden="false" customHeight="true" outlineLevel="0" collapsed="false">
      <c r="A35" s="4" t="n">
        <v>3</v>
      </c>
      <c r="B35" s="4" t="s">
        <v>144</v>
      </c>
      <c r="C35" s="5" t="s">
        <v>145</v>
      </c>
      <c r="D35" s="6" t="s">
        <v>146</v>
      </c>
      <c r="E35" s="4" t="s">
        <v>147</v>
      </c>
      <c r="F35" s="4" t="s">
        <v>25</v>
      </c>
      <c r="G35" s="4" t="s">
        <v>148</v>
      </c>
      <c r="H35" s="4" t="s">
        <v>20</v>
      </c>
      <c r="I35" s="4"/>
      <c r="J35" s="4"/>
      <c r="K35" s="5" t="s">
        <v>149</v>
      </c>
      <c r="L35" s="4" t="n">
        <v>30</v>
      </c>
    </row>
    <row r="36" customFormat="false" ht="37.5" hidden="false" customHeight="true" outlineLevel="0" collapsed="false">
      <c r="A36" s="7" t="n">
        <v>3</v>
      </c>
      <c r="B36" s="7" t="s">
        <v>144</v>
      </c>
      <c r="C36" s="8" t="s">
        <v>150</v>
      </c>
      <c r="D36" s="9" t="s">
        <v>151</v>
      </c>
      <c r="E36" s="7" t="s">
        <v>147</v>
      </c>
      <c r="F36" s="7" t="s">
        <v>25</v>
      </c>
      <c r="G36" s="7" t="s">
        <v>40</v>
      </c>
      <c r="H36" s="7" t="s">
        <v>20</v>
      </c>
      <c r="I36" s="7"/>
      <c r="J36" s="7"/>
      <c r="K36" s="8" t="s">
        <v>152</v>
      </c>
      <c r="L36" s="7" t="n">
        <v>20</v>
      </c>
    </row>
    <row r="37" customFormat="false" ht="37.5" hidden="false" customHeight="true" outlineLevel="0" collapsed="false">
      <c r="A37" s="4" t="n">
        <v>3</v>
      </c>
      <c r="B37" s="4" t="s">
        <v>144</v>
      </c>
      <c r="C37" s="5" t="s">
        <v>153</v>
      </c>
      <c r="D37" s="6" t="s">
        <v>154</v>
      </c>
      <c r="E37" s="4" t="s">
        <v>155</v>
      </c>
      <c r="F37" s="4" t="s">
        <v>25</v>
      </c>
      <c r="G37" s="4" t="s">
        <v>40</v>
      </c>
      <c r="H37" s="4" t="s">
        <v>20</v>
      </c>
      <c r="I37" s="4"/>
      <c r="J37" s="4"/>
      <c r="K37" s="5" t="s">
        <v>156</v>
      </c>
      <c r="L37" s="4" t="n">
        <v>20</v>
      </c>
    </row>
    <row r="38" customFormat="false" ht="37.5" hidden="false" customHeight="true" outlineLevel="0" collapsed="false">
      <c r="A38" s="7" t="n">
        <v>3</v>
      </c>
      <c r="B38" s="7" t="s">
        <v>157</v>
      </c>
      <c r="C38" s="8" t="s">
        <v>158</v>
      </c>
      <c r="D38" s="9" t="s">
        <v>159</v>
      </c>
      <c r="E38" s="7" t="s">
        <v>51</v>
      </c>
      <c r="F38" s="7" t="s">
        <v>60</v>
      </c>
      <c r="G38" s="7" t="s">
        <v>19</v>
      </c>
      <c r="H38" s="7" t="s">
        <v>20</v>
      </c>
      <c r="I38" s="7"/>
      <c r="J38" s="7"/>
      <c r="K38" s="8" t="s">
        <v>160</v>
      </c>
      <c r="L38" s="7" t="n">
        <v>10</v>
      </c>
    </row>
    <row r="39" customFormat="false" ht="37.5" hidden="false" customHeight="true" outlineLevel="0" collapsed="false">
      <c r="A39" s="4" t="n">
        <v>3</v>
      </c>
      <c r="B39" s="4" t="s">
        <v>157</v>
      </c>
      <c r="C39" s="5" t="s">
        <v>161</v>
      </c>
      <c r="D39" s="6" t="s">
        <v>162</v>
      </c>
      <c r="E39" s="4" t="s">
        <v>44</v>
      </c>
      <c r="F39" s="4" t="s">
        <v>25</v>
      </c>
      <c r="G39" s="4" t="s">
        <v>19</v>
      </c>
      <c r="H39" s="4" t="s">
        <v>20</v>
      </c>
      <c r="I39" s="4"/>
      <c r="J39" s="4"/>
      <c r="K39" s="5" t="s">
        <v>163</v>
      </c>
      <c r="L39" s="4" t="n">
        <v>15</v>
      </c>
    </row>
    <row r="40" customFormat="false" ht="37.5" hidden="false" customHeight="true" outlineLevel="0" collapsed="false">
      <c r="A40" s="7" t="n">
        <v>3</v>
      </c>
      <c r="B40" s="7" t="s">
        <v>157</v>
      </c>
      <c r="C40" s="8" t="s">
        <v>164</v>
      </c>
      <c r="D40" s="9" t="s">
        <v>165</v>
      </c>
      <c r="E40" s="7" t="s">
        <v>128</v>
      </c>
      <c r="F40" s="7" t="s">
        <v>25</v>
      </c>
      <c r="G40" s="7" t="s">
        <v>19</v>
      </c>
      <c r="H40" s="7" t="s">
        <v>20</v>
      </c>
      <c r="I40" s="7"/>
      <c r="J40" s="7"/>
      <c r="K40" s="8" t="s">
        <v>166</v>
      </c>
      <c r="L40" s="7" t="n">
        <v>15</v>
      </c>
    </row>
    <row r="41" customFormat="false" ht="37.5" hidden="false" customHeight="true" outlineLevel="0" collapsed="false">
      <c r="A41" s="4" t="n">
        <v>3</v>
      </c>
      <c r="B41" s="4" t="s">
        <v>167</v>
      </c>
      <c r="C41" s="5" t="s">
        <v>168</v>
      </c>
      <c r="D41" s="6" t="s">
        <v>169</v>
      </c>
      <c r="E41" s="4" t="s">
        <v>90</v>
      </c>
      <c r="F41" s="4" t="s">
        <v>96</v>
      </c>
      <c r="G41" s="4" t="s">
        <v>170</v>
      </c>
      <c r="H41" s="4" t="s">
        <v>20</v>
      </c>
      <c r="I41" s="4"/>
      <c r="J41" s="4"/>
      <c r="K41" s="5" t="s">
        <v>171</v>
      </c>
      <c r="L41" s="4" t="n">
        <v>25</v>
      </c>
    </row>
    <row r="42" customFormat="false" ht="37.5" hidden="false" customHeight="true" outlineLevel="0" collapsed="false">
      <c r="A42" s="7" t="n">
        <v>3</v>
      </c>
      <c r="B42" s="7" t="s">
        <v>167</v>
      </c>
      <c r="C42" s="8" t="s">
        <v>172</v>
      </c>
      <c r="D42" s="9" t="s">
        <v>173</v>
      </c>
      <c r="E42" s="7" t="s">
        <v>17</v>
      </c>
      <c r="F42" s="7" t="s">
        <v>25</v>
      </c>
      <c r="G42" s="7" t="s">
        <v>40</v>
      </c>
      <c r="H42" s="7" t="s">
        <v>20</v>
      </c>
      <c r="I42" s="7"/>
      <c r="J42" s="7"/>
      <c r="K42" s="8" t="s">
        <v>174</v>
      </c>
      <c r="L42" s="7" t="n">
        <v>15</v>
      </c>
    </row>
  </sheetData>
  <autoFilter ref="A4:L42"/>
  <mergeCells count="2">
    <mergeCell ref="A1:L1"/>
    <mergeCell ref="A2:L2"/>
  </mergeCells>
  <conditionalFormatting sqref="H5:H42">
    <cfRule type="expression" priority="2" aboveAverage="0" equalAverage="0" bottom="0" percent="0" rank="0" text="" dxfId="8">
      <formula>$H5="Validé"</formula>
    </cfRule>
    <cfRule type="expression" priority="3" aboveAverage="0" equalAverage="0" bottom="0" percent="0" rank="0" text="" dxfId="9">
      <formula>$H5="En cours"</formula>
    </cfRule>
    <cfRule type="expression" priority="4" aboveAverage="0" equalAverage="0" bottom="0" percent="0" rank="0" text="" dxfId="10">
      <formula>$H5="Soumis"</formula>
    </cfRule>
    <cfRule type="expression" priority="5" aboveAverage="0" equalAverage="0" bottom="0" percent="0" rank="0" text="" dxfId="11">
      <formula>$H5="Rejeté"</formula>
    </cfRule>
    <cfRule type="expression" priority="6" aboveAverage="0" equalAverage="0" bottom="0" percent="0" rank="0" text="" dxfId="12">
      <formula>$H5="Pas applicable"</formula>
    </cfRule>
  </conditionalFormatting>
  <conditionalFormatting sqref="A5:A42">
    <cfRule type="expression" priority="7" aboveAverage="0" equalAverage="0" bottom="0" percent="0" rank="0" text="" dxfId="13">
      <formula>$A5=1</formula>
    </cfRule>
    <cfRule type="expression" priority="8" aboveAverage="0" equalAverage="0" bottom="0" percent="0" rank="0" text="" dxfId="14">
      <formula>$A5=2</formula>
    </cfRule>
    <cfRule type="expression" priority="9" aboveAverage="0" equalAverage="0" bottom="0" percent="0" rank="0" text="" dxfId="15">
      <formula>$A5=3</formula>
    </cfRule>
  </conditionalFormatting>
  <dataValidations count="2">
    <dataValidation allowBlank="true" errorStyle="stop" operator="between" showDropDown="false" showErrorMessage="false" showInputMessage="false" sqref="H5:H42" type="list">
      <formula1>"À faire,En cours,Soumis,Validé,Rejeté,Pas applicable"</formula1>
      <formula2>0</formula2>
    </dataValidation>
    <dataValidation allowBlank="true" errorStyle="stop" operator="between" showDropDown="false" showErrorMessage="false" showInputMessage="false" sqref="A5:A42" type="list">
      <formula1>"1,2,3"</formula1>
      <formula2>0</formula2>
    </dataValidation>
  </dataValidations>
  <hyperlinks>
    <hyperlink ref="D5" r:id="rId1" display="https://www.pagesjaunes.fr/pros/devenir-client"/>
    <hyperlink ref="D6" r:id="rId2" display="https://www.google.com/business/"/>
    <hyperlink ref="D7" r:id="rId3" display="https://www.bingplaces.com/"/>
    <hyperlink ref="D8" r:id="rId4" display="https://mapsconnect.apple.com/"/>
    <hyperlink ref="D9" r:id="rId5" display="https://biz.yelp.fr/"/>
    <hyperlink ref="D10" r:id="rId6" display="https://hoodspot.fr/"/>
    <hyperlink ref="D11" r:id="rId7" display="https://www.justacote.com/"/>
    <hyperlink ref="D12" r:id="rId8" display="https://www.cylex-france.fr/"/>
    <hyperlink ref="D13" r:id="rId9" display="https://fr.kompass.com/"/>
    <hyperlink ref="D14" r:id="rId10" display="https://www.societe.com/"/>
    <hyperlink ref="D15" r:id="rId11" display="https://www.toulouse.cci.fr/annuaire-entreprises"/>
    <hyperlink ref="D16" r:id="rId12" display="https://www.toulouse-metropole.fr/"/>
    <hyperlink ref="D17" r:id="rId13" display="https://www.haute-garonne.fr/"/>
    <hyperlink ref="D18" r:id="rId14" display="https://www.laregion.fr/"/>
    <hyperlink ref="D19" r:id="rId15" display="https://www.cma-toulouse.fr/"/>
    <hyperlink ref="D20" r:id="rId16" display="https://www.madeinoccitanie.com/"/>
    <hyperlink ref="D21" r:id="rId17" display="https://www.toulouse.org/"/>
    <hyperlink ref="D22" r:id="rId18" display="https://www.houzz.fr/professionnels/inscription"/>
    <hyperlink ref="D23" r:id="rId19" display="https://www.travaux.com/inscription-pro"/>
    <hyperlink ref="D24" r:id="rId20" display="https://www.habitatpresto.com/inscription-artisan"/>
    <hyperlink ref="D25" r:id="rId21" display="https://www.lemoniteur.fr/"/>
    <hyperlink ref="D26" r:id="rId22" display="https://www.batiactu.com/"/>
    <hyperlink ref="D27" r:id="rId23" display="https://www.opqibi.com/"/>
    <hyperlink ref="D28" r:id="rId24" display="https://www.architectes-pour-tous.fr/"/>
    <hyperlink ref="D29" r:id="rId25" display="https://www.syntec-ingenierie.fr/"/>
    <hyperlink ref="D30" r:id="rId26" display="https://www.annuairebatiment.com/"/>
    <hyperlink ref="D31" r:id="rId27" display="https://www.lebtp.fr/"/>
    <hyperlink ref="D32" r:id="rId28" display="https://www.notaires.fr/fr"/>
    <hyperlink ref="D33" r:id="rId29" display="https://pro.seloger.com/"/>
    <hyperlink ref="D34" r:id="rId30" display="https://www.ceacap.org/"/>
    <hyperlink ref="D35" r:id="rId31" display="https://www.linkedin.com/company/setup/new/"/>
    <hyperlink ref="D36" r:id="rId32" display="https://www.facebook.com/business/"/>
    <hyperlink ref="D37" r:id="rId33" display="https://business.instagram.com/"/>
    <hyperlink ref="D38" r:id="rId34" display="https://www.verif.com/"/>
    <hyperlink ref="D39" r:id="rId35" display="https://www.manageo.fr/"/>
    <hyperlink ref="D40" r:id="rId36" display="https://www.yellowpages.fr/"/>
    <hyperlink ref="D41" r:id="rId37" display="https://fr.trustpilot.com/"/>
    <hyperlink ref="D42" r:id="rId38" display="https://foursquare.com/busines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175</v>
      </c>
      <c r="B1" s="1"/>
      <c r="C1" s="1"/>
      <c r="D1" s="1"/>
      <c r="E1" s="1"/>
    </row>
    <row r="3" customFormat="false" ht="15" hidden="false" customHeight="false" outlineLevel="0" collapsed="false">
      <c r="A3" s="10" t="s">
        <v>176</v>
      </c>
    </row>
    <row r="4" customFormat="false" ht="15" hidden="false" customHeight="false" outlineLevel="0" collapsed="false">
      <c r="A4" s="11" t="s">
        <v>177</v>
      </c>
      <c r="B4" s="12" t="n">
        <f aca="false">COUNTA(Suivi!C5:C42)</f>
        <v>38</v>
      </c>
    </row>
    <row r="5" customFormat="false" ht="15" hidden="false" customHeight="false" outlineLevel="0" collapsed="false">
      <c r="A5" s="11" t="s">
        <v>20</v>
      </c>
      <c r="B5" s="12" t="n">
        <f aca="false">COUNTIF(Suivi!H5:H42,"À faire")</f>
        <v>38</v>
      </c>
    </row>
    <row r="6" customFormat="false" ht="15" hidden="false" customHeight="false" outlineLevel="0" collapsed="false">
      <c r="A6" s="11" t="s">
        <v>178</v>
      </c>
      <c r="B6" s="12" t="n">
        <f aca="false">COUNTIF(Suivi!H5:H42,"En cours")</f>
        <v>0</v>
      </c>
    </row>
    <row r="7" customFormat="false" ht="15" hidden="false" customHeight="false" outlineLevel="0" collapsed="false">
      <c r="A7" s="11" t="s">
        <v>179</v>
      </c>
      <c r="B7" s="12" t="n">
        <f aca="false">COUNTIF(Suivi!H5:H42,"Soumis")</f>
        <v>0</v>
      </c>
    </row>
    <row r="8" customFormat="false" ht="15" hidden="false" customHeight="false" outlineLevel="0" collapsed="false">
      <c r="A8" s="11" t="s">
        <v>180</v>
      </c>
      <c r="B8" s="12" t="n">
        <f aca="false">COUNTIF(Suivi!H5:H42,"Validé")</f>
        <v>0</v>
      </c>
    </row>
    <row r="9" customFormat="false" ht="15" hidden="false" customHeight="false" outlineLevel="0" collapsed="false">
      <c r="A9" s="11" t="s">
        <v>181</v>
      </c>
      <c r="B9" s="12" t="n">
        <f aca="false">COUNTIF(Suivi!H5:H42,"Rejeté")</f>
        <v>0</v>
      </c>
    </row>
    <row r="10" customFormat="false" ht="15" hidden="false" customHeight="false" outlineLevel="0" collapsed="false">
      <c r="A10" s="11" t="s">
        <v>182</v>
      </c>
      <c r="B10" s="13" t="n">
        <f aca="false">IFERROR(B8/(B8+B7+B9),0)</f>
        <v>0</v>
      </c>
    </row>
    <row r="12" customFormat="false" ht="15" hidden="false" customHeight="false" outlineLevel="0" collapsed="false">
      <c r="A12" s="10" t="s">
        <v>183</v>
      </c>
    </row>
    <row r="13" customFormat="false" ht="26.85" hidden="false" customHeight="false" outlineLevel="0" collapsed="false">
      <c r="A13" s="3" t="s">
        <v>2</v>
      </c>
      <c r="B13" s="3" t="s">
        <v>184</v>
      </c>
      <c r="C13" s="3" t="s">
        <v>185</v>
      </c>
      <c r="D13" s="3" t="s">
        <v>186</v>
      </c>
    </row>
    <row r="14" customFormat="false" ht="15" hidden="false" customHeight="false" outlineLevel="0" collapsed="false">
      <c r="A14" s="4" t="s">
        <v>187</v>
      </c>
      <c r="B14" s="4" t="n">
        <f aca="false">COUNTIFS(Suivi!A5:A42,1)</f>
        <v>17</v>
      </c>
      <c r="C14" s="4" t="n">
        <f aca="false">COUNTIFS(Suivi!A5:A42,1,Suivi!H5:H42,"Validé")</f>
        <v>0</v>
      </c>
      <c r="D14" s="14" t="n">
        <f aca="false">IFERROR(C14/B14,0)</f>
        <v>0</v>
      </c>
    </row>
    <row r="15" customFormat="false" ht="15" hidden="false" customHeight="false" outlineLevel="0" collapsed="false">
      <c r="A15" s="4" t="s">
        <v>188</v>
      </c>
      <c r="B15" s="4" t="n">
        <f aca="false">COUNTIFS(Suivi!A5:A42,2)</f>
        <v>13</v>
      </c>
      <c r="C15" s="4" t="n">
        <f aca="false">COUNTIFS(Suivi!A5:A42,2,Suivi!H5:H42,"Validé")</f>
        <v>0</v>
      </c>
      <c r="D15" s="14" t="n">
        <f aca="false">IFERROR(C15/B15,0)</f>
        <v>0</v>
      </c>
    </row>
    <row r="16" customFormat="false" ht="15" hidden="false" customHeight="false" outlineLevel="0" collapsed="false">
      <c r="A16" s="4" t="s">
        <v>189</v>
      </c>
      <c r="B16" s="4" t="n">
        <f aca="false">COUNTIFS(Suivi!A5:A42,3)</f>
        <v>8</v>
      </c>
      <c r="C16" s="4" t="n">
        <f aca="false">COUNTIFS(Suivi!A5:A42,3,Suivi!H5:H42,"Validé")</f>
        <v>0</v>
      </c>
      <c r="D16" s="14" t="n">
        <f aca="false">IFERROR(C16/B16,0)</f>
        <v>0</v>
      </c>
    </row>
    <row r="18" customFormat="false" ht="15" hidden="false" customHeight="false" outlineLevel="0" collapsed="false">
      <c r="A18" s="10" t="s">
        <v>190</v>
      </c>
    </row>
    <row r="19" customFormat="false" ht="15" hidden="false" customHeight="false" outlineLevel="0" collapsed="false">
      <c r="A19" s="3" t="s">
        <v>3</v>
      </c>
      <c r="B19" s="3" t="s">
        <v>184</v>
      </c>
      <c r="C19" s="3" t="s">
        <v>185</v>
      </c>
    </row>
    <row r="20" customFormat="false" ht="15" hidden="false" customHeight="false" outlineLevel="0" collapsed="false">
      <c r="A20" s="4" t="s">
        <v>14</v>
      </c>
      <c r="B20" s="4" t="n">
        <f aca="false">COUNTIF(Suivi!B5:B42,"Généraliste")</f>
        <v>10</v>
      </c>
      <c r="C20" s="4" t="n">
        <f aca="false">COUNTIFS(Suivi!B5:B42,"Généraliste",Suivi!H5:H42,"Validé")</f>
        <v>0</v>
      </c>
    </row>
    <row r="21" customFormat="false" ht="15" hidden="false" customHeight="false" outlineLevel="0" collapsed="false">
      <c r="A21" s="4" t="s">
        <v>62</v>
      </c>
      <c r="B21" s="4" t="n">
        <f aca="false">COUNTIF(Suivi!B5:B42,"Local Toulouse")</f>
        <v>7</v>
      </c>
      <c r="C21" s="4" t="n">
        <f aca="false">COUNTIFS(Suivi!B5:B42,"Local Toulouse",Suivi!H5:H42,"Validé")</f>
        <v>0</v>
      </c>
    </row>
    <row r="22" customFormat="false" ht="15" hidden="false" customHeight="false" outlineLevel="0" collapsed="false">
      <c r="A22" s="4" t="s">
        <v>87</v>
      </c>
      <c r="B22" s="4" t="n">
        <f aca="false">COUNTIF(Suivi!B5:B42,"Métier bâtiment")</f>
        <v>10</v>
      </c>
      <c r="C22" s="4" t="n">
        <f aca="false">COUNTIFS(Suivi!B5:B42,"Métier bâtiment",Suivi!H5:H42,"Validé")</f>
        <v>0</v>
      </c>
    </row>
    <row r="23" customFormat="false" ht="15" hidden="false" customHeight="false" outlineLevel="0" collapsed="false">
      <c r="A23" s="4" t="s">
        <v>130</v>
      </c>
      <c r="B23" s="4" t="n">
        <f aca="false">COUNTIF(Suivi!B5:B42,"Immobilier/Expert")</f>
        <v>3</v>
      </c>
      <c r="C23" s="4" t="n">
        <f aca="false">COUNTIFS(Suivi!B5:B42,"Immobilier/Expert",Suivi!H5:H42,"Validé")</f>
        <v>0</v>
      </c>
    </row>
    <row r="24" customFormat="false" ht="15" hidden="false" customHeight="false" outlineLevel="0" collapsed="false">
      <c r="A24" s="4" t="s">
        <v>144</v>
      </c>
      <c r="B24" s="4" t="n">
        <f aca="false">COUNTIF(Suivi!B5:B42,"Réseau social")</f>
        <v>3</v>
      </c>
      <c r="C24" s="4" t="n">
        <f aca="false">COUNTIFS(Suivi!B5:B42,"Réseau social",Suivi!H5:H42,"Validé")</f>
        <v>0</v>
      </c>
    </row>
    <row r="25" customFormat="false" ht="15" hidden="false" customHeight="false" outlineLevel="0" collapsed="false">
      <c r="A25" s="4" t="s">
        <v>157</v>
      </c>
      <c r="B25" s="4" t="n">
        <f aca="false">COUNTIF(Suivi!B5:B42,"Annuaire FR")</f>
        <v>3</v>
      </c>
      <c r="C25" s="4" t="n">
        <f aca="false">COUNTIFS(Suivi!B5:B42,"Annuaire FR",Suivi!H5:H42,"Validé")</f>
        <v>0</v>
      </c>
    </row>
    <row r="26" customFormat="false" ht="15" hidden="false" customHeight="false" outlineLevel="0" collapsed="false">
      <c r="A26" s="4" t="s">
        <v>167</v>
      </c>
      <c r="B26" s="4" t="n">
        <f aca="false">COUNTIF(Suivi!B5:B42,"Annuaire local")</f>
        <v>2</v>
      </c>
      <c r="C26" s="4" t="n">
        <f aca="false">COUNTIFS(Suivi!B5:B42,"Annuaire local",Suivi!H5:H42,"Validé")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30" hidden="false" customHeight="true" outlineLevel="0" collapsed="false">
      <c r="A1" s="1" t="s">
        <v>191</v>
      </c>
      <c r="B1" s="1"/>
    </row>
    <row r="4" customFormat="false" ht="15" hidden="false" customHeight="false" outlineLevel="0" collapsed="false">
      <c r="A4" s="15" t="s">
        <v>192</v>
      </c>
      <c r="B4" s="15"/>
    </row>
    <row r="5" customFormat="false" ht="30" hidden="false" customHeight="true" outlineLevel="0" collapsed="false">
      <c r="A5" s="16" t="s">
        <v>187</v>
      </c>
      <c r="B5" s="17" t="s">
        <v>193</v>
      </c>
    </row>
    <row r="6" customFormat="false" ht="30" hidden="false" customHeight="true" outlineLevel="0" collapsed="false">
      <c r="A6" s="16" t="s">
        <v>188</v>
      </c>
      <c r="B6" s="17" t="s">
        <v>194</v>
      </c>
    </row>
    <row r="7" customFormat="false" ht="30" hidden="false" customHeight="true" outlineLevel="0" collapsed="false">
      <c r="A7" s="16" t="s">
        <v>189</v>
      </c>
      <c r="B7" s="17" t="s">
        <v>195</v>
      </c>
    </row>
    <row r="9" customFormat="false" ht="15" hidden="false" customHeight="false" outlineLevel="0" collapsed="false">
      <c r="A9" s="15" t="s">
        <v>196</v>
      </c>
      <c r="B9" s="15"/>
    </row>
    <row r="10" customFormat="false" ht="30" hidden="false" customHeight="true" outlineLevel="0" collapsed="false">
      <c r="A10" s="16" t="s">
        <v>20</v>
      </c>
      <c r="B10" s="17" t="s">
        <v>197</v>
      </c>
    </row>
    <row r="11" customFormat="false" ht="30" hidden="false" customHeight="true" outlineLevel="0" collapsed="false">
      <c r="A11" s="16" t="s">
        <v>178</v>
      </c>
      <c r="B11" s="17" t="s">
        <v>198</v>
      </c>
    </row>
    <row r="12" customFormat="false" ht="30" hidden="false" customHeight="true" outlineLevel="0" collapsed="false">
      <c r="A12" s="16" t="s">
        <v>199</v>
      </c>
      <c r="B12" s="17" t="s">
        <v>200</v>
      </c>
    </row>
    <row r="13" customFormat="false" ht="30" hidden="false" customHeight="true" outlineLevel="0" collapsed="false">
      <c r="A13" s="16" t="s">
        <v>185</v>
      </c>
      <c r="B13" s="17" t="s">
        <v>201</v>
      </c>
    </row>
    <row r="14" customFormat="false" ht="30" hidden="false" customHeight="true" outlineLevel="0" collapsed="false">
      <c r="A14" s="16" t="s">
        <v>181</v>
      </c>
      <c r="B14" s="17" t="s">
        <v>202</v>
      </c>
    </row>
    <row r="15" customFormat="false" ht="30" hidden="false" customHeight="true" outlineLevel="0" collapsed="false">
      <c r="A15" s="16" t="s">
        <v>203</v>
      </c>
      <c r="B15" s="17" t="s">
        <v>204</v>
      </c>
    </row>
    <row r="17" customFormat="false" ht="15" hidden="false" customHeight="false" outlineLevel="0" collapsed="false">
      <c r="A17" s="15" t="s">
        <v>205</v>
      </c>
      <c r="B17" s="15"/>
    </row>
    <row r="18" customFormat="false" ht="30" hidden="false" customHeight="true" outlineLevel="0" collapsed="false">
      <c r="A18" s="16" t="s">
        <v>206</v>
      </c>
      <c r="B18" s="17" t="s">
        <v>207</v>
      </c>
    </row>
    <row r="20" customFormat="false" ht="15" hidden="false" customHeight="false" outlineLevel="0" collapsed="false">
      <c r="A20" s="15" t="s">
        <v>208</v>
      </c>
      <c r="B20" s="15"/>
    </row>
    <row r="21" customFormat="false" ht="30" hidden="false" customHeight="true" outlineLevel="0" collapsed="false">
      <c r="A21" s="16" t="s">
        <v>19</v>
      </c>
      <c r="B21" s="17" t="s">
        <v>209</v>
      </c>
    </row>
    <row r="22" customFormat="false" ht="30" hidden="false" customHeight="true" outlineLevel="0" collapsed="false">
      <c r="A22" s="16" t="s">
        <v>40</v>
      </c>
      <c r="B22" s="17" t="s">
        <v>210</v>
      </c>
    </row>
    <row r="24" customFormat="false" ht="15" hidden="false" customHeight="false" outlineLevel="0" collapsed="false">
      <c r="A24" s="15" t="s">
        <v>211</v>
      </c>
      <c r="B24" s="15"/>
    </row>
    <row r="25" customFormat="false" ht="30" hidden="false" customHeight="true" outlineLevel="0" collapsed="false">
      <c r="A25" s="16" t="s">
        <v>212</v>
      </c>
      <c r="B25" s="17" t="s">
        <v>213</v>
      </c>
    </row>
    <row r="26" customFormat="false" ht="30" hidden="false" customHeight="true" outlineLevel="0" collapsed="false">
      <c r="A26" s="16" t="s">
        <v>214</v>
      </c>
      <c r="B26" s="17" t="s">
        <v>215</v>
      </c>
    </row>
    <row r="27" customFormat="false" ht="30" hidden="false" customHeight="true" outlineLevel="0" collapsed="false">
      <c r="A27" s="16" t="s">
        <v>216</v>
      </c>
      <c r="B27" s="17" t="s">
        <v>217</v>
      </c>
    </row>
    <row r="28" customFormat="false" ht="30" hidden="false" customHeight="true" outlineLevel="0" collapsed="false">
      <c r="A28" s="16" t="s">
        <v>218</v>
      </c>
      <c r="B28" s="17" t="s">
        <v>219</v>
      </c>
    </row>
    <row r="29" customFormat="false" ht="30" hidden="false" customHeight="true" outlineLevel="0" collapsed="false">
      <c r="A29" s="16" t="s">
        <v>220</v>
      </c>
      <c r="B29" s="17" t="s">
        <v>221</v>
      </c>
    </row>
    <row r="30" customFormat="false" ht="30" hidden="false" customHeight="true" outlineLevel="0" collapsed="false">
      <c r="A30" s="16" t="s">
        <v>222</v>
      </c>
      <c r="B30" s="17" t="s">
        <v>223</v>
      </c>
    </row>
    <row r="31" customFormat="false" ht="30" hidden="false" customHeight="true" outlineLevel="0" collapsed="false">
      <c r="A31" s="16" t="s">
        <v>224</v>
      </c>
      <c r="B31" s="17" t="s">
        <v>225</v>
      </c>
    </row>
    <row r="33" customFormat="false" ht="15" hidden="false" customHeight="false" outlineLevel="0" collapsed="false">
      <c r="A33" s="15" t="s">
        <v>226</v>
      </c>
      <c r="B33" s="15"/>
    </row>
    <row r="34" customFormat="false" ht="30" hidden="false" customHeight="true" outlineLevel="0" collapsed="false">
      <c r="A34" s="16" t="s">
        <v>227</v>
      </c>
      <c r="B34" s="17" t="s">
        <v>228</v>
      </c>
    </row>
    <row r="35" customFormat="false" ht="30" hidden="false" customHeight="true" outlineLevel="0" collapsed="false">
      <c r="A35" s="16" t="s">
        <v>229</v>
      </c>
      <c r="B35" s="17" t="s">
        <v>230</v>
      </c>
    </row>
    <row r="36" customFormat="false" ht="30" hidden="false" customHeight="true" outlineLevel="0" collapsed="false">
      <c r="A36" s="16" t="s">
        <v>231</v>
      </c>
      <c r="B36" s="17" t="s">
        <v>232</v>
      </c>
    </row>
    <row r="37" customFormat="false" ht="30" hidden="false" customHeight="true" outlineLevel="0" collapsed="false">
      <c r="A37" s="16" t="s">
        <v>184</v>
      </c>
      <c r="B37" s="17" t="s">
        <v>233</v>
      </c>
    </row>
  </sheetData>
  <mergeCells count="7">
    <mergeCell ref="A1:B1"/>
    <mergeCell ref="A4:B4"/>
    <mergeCell ref="A9:B9"/>
    <mergeCell ref="A17:B17"/>
    <mergeCell ref="A20:B20"/>
    <mergeCell ref="A24:B24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2026-04-29T20:28:19Z</dcterms:created>
  <dc:creator>openpyxl</dc:creator>
  <dc:description/>
  <dc:language>en-US</dc:language>
  <cp:lastModifiedBy/>
  <dcterms:modified xsi:type="dcterms:W3CDTF">2026-04-29T20:28:19Z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